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92db8176ec49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a6f1ee0d8084280"/>
  </x:sheets>
</x:workbook>
</file>

<file path=xl/sharedStrings.xml><?xml version="1.0" encoding="utf-8"?>
<x:sst xmlns:x="http://schemas.openxmlformats.org/spreadsheetml/2006/main">
  <x:si>
    <x:t xml:space="preserve">供餐日期</x:t>
  </x:si>
  <x:si>
    <x:t xml:space="preserve">學校</x:t>
  </x:si>
  <x:si>
    <x:t xml:space="preserve">菜色名稱</x:t>
  </x:si>
  <x:si>
    <x:t xml:space="preserve">食材名稱</x:t>
  </x:si>
  <x:si>
    <x:t xml:space="preserve">進貨日期</x:t>
  </x:si>
  <x:si>
    <x:t xml:space="preserve">生產日期</x:t>
  </x:si>
  <x:si>
    <x:t xml:space="preserve">有效日期</x:t>
  </x:si>
  <x:si>
    <x:t xml:space="preserve">批號</x:t>
  </x:si>
  <x:si>
    <x:t xml:space="preserve">製造商</x:t>
  </x:si>
  <x:si>
    <x:t xml:space="preserve">供應商名稱</x:t>
  </x:si>
  <x:si>
    <x:t xml:space="preserve">食材驗證標章</x:t>
  </x:si>
  <x:si>
    <x:t xml:space="preserve">驗證號碼</x:t>
  </x:si>
  <x:si>
    <x:t xml:space="preserve">產品名稱</x:t>
  </x:si>
  <x:si>
    <x:t xml:space="preserve">重量(公斤)</x:t>
  </x:si>
  <x:si>
    <x:t xml:space="preserve">非基改玉米</x:t>
  </x:si>
  <x:si>
    <x:t xml:space="preserve">非基改黃豆</x:t>
  </x:si>
  <x:si>
    <x:t xml:space="preserve">加工品</x:t>
  </x:si>
  <x:si>
    <x:t xml:space="preserve">食材原產地</x:t>
  </x:si>
  <x:si>
    <x:t xml:space="preserve">桃園市中壢區中平國小</x:t>
  </x:si>
  <x:si>
    <x:t xml:space="preserve">香Q米飯</x:t>
  </x:si>
  <x:si>
    <x:t xml:space="preserve">粳米</x:t>
  </x:si>
  <x:si>
    <x:t xml:space="preserve">10</x:t>
  </x:si>
  <x:si>
    <x:t xml:space="preserve">陸穀實業股份有限公司</x:t>
  </x:si>
  <x:si>
    <x:t xml:space="preserve">產銷履歷</x:t>
  </x:si>
  <x:si>
    <x:t xml:space="preserve">Y</x:t>
  </x:si>
  <x:si>
    <x:t xml:space="preserve">N</x:t>
  </x:si>
  <x:si>
    <x:t xml:space="preserve">臺灣</x:t>
  </x:si>
  <x:si>
    <x:t xml:space="preserve">沙茶雞肉</x:t>
  </x:si>
  <x:si>
    <x:t xml:space="preserve">帶皮雞胸肉</x:t>
  </x:si>
  <x:si>
    <x:t xml:space="preserve">保證責任台灣省北台肉雞運銷合作社</x:t>
  </x:si>
  <x:si>
    <x:t xml:space="preserve">CAS台灣優良農產品</x:t>
  </x:si>
  <x:si>
    <x:t xml:space="preserve">洋蔥</x:t>
  </x:si>
  <x:si>
    <x:t xml:space="preserve">徐匯恩</x:t>
  </x:si>
  <x:si>
    <x:t xml:space="preserve">生產追溯-農產品</x:t>
  </x:si>
  <x:si>
    <x:t xml:space="preserve">麻婆豆腐</x:t>
  </x:si>
  <x:si>
    <x:t xml:space="preserve">豆腐</x:t>
  </x:si>
  <x:si>
    <x:t xml:space="preserve">津悅</x:t>
  </x:si>
  <x:si>
    <x:t xml:space="preserve"> </x:t>
  </x:si>
  <x:si>
    <x:t xml:space="preserve">絞肉</x:t>
  </x:si>
  <x:si>
    <x:t xml:space="preserve">大湖畜牧場</x:t>
  </x:si>
  <x:si>
    <x:t xml:space="preserve">生產追溯-豬肉</x:t>
  </x:si>
  <x:si>
    <x:t xml:space="preserve">甜條炒四季豆</x:t>
  </x:si>
  <x:si>
    <x:t xml:space="preserve">敏豆</x:t>
  </x:si>
  <x:si>
    <x:t xml:space="preserve">豐誠冷凍食品有限公司</x:t>
  </x:si>
  <x:si>
    <x:t xml:space="preserve">甜不辣</x:t>
  </x:si>
  <x:si>
    <x:t xml:space="preserve">品豐國際企業有限公司</x:t>
  </x:si>
  <x:si>
    <x:t xml:space="preserve">生產追溯-水產品</x:t>
  </x:si>
  <x:si>
    <x:t xml:space="preserve">產銷履歷蚵白菜</x:t>
  </x:si>
  <x:si>
    <x:t xml:space="preserve">蚵白菜</x:t>
  </x:si>
  <x:si>
    <x:t xml:space="preserve">盛綻農業農產品初級加工場</x:t>
  </x:si>
  <x:si>
    <x:t xml:space="preserve">玉米蛋花湯</x:t>
  </x:si>
  <x:si>
    <x:t xml:space="preserve">玉米粒</x:t>
  </x:si>
  <x:si>
    <x:t xml:space="preserve">富士鮮品股份有限公司-二廠</x:t>
  </x:si>
  <x:si>
    <x:t xml:space="preserve">雞蛋(白殼)</x:t>
  </x:si>
  <x:si>
    <x:t xml:space="preserve">炎稜畜牧場</x:t>
  </x:si>
  <x:si>
    <x:t xml:space="preserve">雞蛋噴印-洗選鮮蛋</x:t>
  </x:si>
  <x:si>
    <x:t xml:space="preserve">桃園市中壢區信義國小</x:t>
  </x:si>
  <x:si>
    <x:t xml:space="preserve">桃園市桃園區私立振聲高中</x:t>
  </x:si>
  <x:si>
    <x:t xml:space="preserve">有機荷葉白菜</x:t>
  </x:si>
  <x:si>
    <x:t xml:space="preserve">荷葉白菜</x:t>
  </x:si>
  <x:si>
    <x:t xml:space="preserve">羅勻晨</x:t>
  </x:si>
  <x:si>
    <x:t xml:space="preserve">台灣有機農產品</x:t>
  </x:si>
  <x:si>
    <x:t xml:space="preserve">(素)香Q米飯</x:t>
  </x:si>
  <x:si>
    <x:t xml:space="preserve">(素)素排</x:t>
  </x:si>
  <x:si>
    <x:t xml:space="preserve">素排</x:t>
  </x:si>
  <x:si>
    <x:t xml:space="preserve">佛心素食材料行</x:t>
  </x:si>
  <x:si>
    <x:t xml:space="preserve">(素)三色豆腐</x:t>
  </x:si>
  <x:si>
    <x:t xml:space="preserve">三色丁</x:t>
  </x:si>
  <x:si>
    <x:t xml:space="preserve">富士鮮品股份有限公司</x:t>
  </x:si>
  <x:si>
    <x:t xml:space="preserve">(素)四季豆香菇</x:t>
  </x:si>
  <x:si>
    <x:t xml:space="preserve">香菇</x:t>
  </x:si>
  <x:si>
    <x:t xml:space="preserve">彰化縣菇類生產合作社</x:t>
  </x:si>
  <x:si>
    <x:t xml:space="preserve">(素)杏鮑彩椒</x:t>
  </x:si>
  <x:si>
    <x:t xml:space="preserve">杏鮑菇</x:t>
  </x:si>
  <x:si>
    <x:t xml:space="preserve">甜椒</x:t>
  </x:si>
  <x:si>
    <x:t xml:space="preserve">劉明仁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</x:si>
</x:sst>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2"/>
      <x:color theme="1"/>
      <x:name val="新細明體"/>
    </x:font>
    <x:font>
      <x:sz val="9"/>
      <x:name val="新細明體"/>
    </x:font>
    <x:font>
      <x:sz val="12"/>
      <x:name val="新細明體"/>
    </x:font>
    <x:font>
      <x:sz val="12"/>
      <x:name val="新細明體"/>
    </x:font>
  </x:fonts>
  <x:fills count="8">
    <x:fill>
      <x:patternFill patternType="none"/>
    </x:fill>
    <x:fill>
      <x:patternFill patternType="gray125"/>
    </x:fill>
    <x:fill>
      <x:patternFill patternType="solid">
        <x:fgColor theme="5" tint="0.79998"/>
      </x:patternFill>
    </x:fill>
    <x:fill>
      <x:patternFill patternType="solid">
        <x:fgColor theme="7" tint="0.79998"/>
      </x:patternFill>
    </x:fill>
    <x:fill>
      <x:patternFill patternType="solid">
        <x:fgColor theme="0" tint="-0.15"/>
      </x:patternFill>
    </x:fill>
    <x:fill>
      <x:patternFill patternType="solid">
        <x:fgColor rgb="FFF9F8D4"/>
      </x:patternFill>
    </x:fill>
    <x:fill>
      <x:patternFill patternType="solid">
        <x:fgColor rgb="FFFFFFCC"/>
      </x:patternFill>
    </x:fill>
    <x:fill>
      <x:patternFill patternType="solid">
        <x:fgColor theme="6" tint="0.59999"/>
      </x:patternFill>
    </x:fill>
  </x:fills>
  <x:borders count="1">
    <x:border/>
  </x:borders>
  <x:cellStyleXfs count="1">
    <x:xf numFmtId="0" fontId="0" fillId="0" borderId="0"/>
  </x:cellStyleXfs>
  <x:cellXfs count="45">
    <x:xf numFmtId="0" fontId="0" fillId="0" borderId="0" xfId="0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center"/>
    </x:xf>
    <x:xf numFmtId="0" fontId="2" fillId="0" borderId="0" xfId="0" applyFont="1"/>
    <x:xf numFmtId="14" fontId="2" fillId="2" borderId="0" xfId="0" applyNumberFormat="1" applyFont="1" applyFill="1" applyAlignment="1">
      <x:alignment horizontal="center"/>
    </x:xf>
    <x:xf numFmtId="0" fontId="2" fillId="2" borderId="0" xfId="0" applyFont="1" applyFill="1" applyAlignment="1">
      <x:alignment vertical="center"/>
    </x:xf>
    <x:xf numFmtId="49" fontId="2" fillId="2" borderId="0" xfId="0" applyNumberFormat="1" applyFont="1" applyFill="1"/>
    <x:xf numFmtId="0" fontId="2" fillId="2" borderId="0" xfId="0" applyFont="1" applyFill="1"/>
    <x:xf numFmtId="14" fontId="2" fillId="2" borderId="0" xfId="0" applyNumberFormat="1" applyFont="1" applyFill="1"/>
    <x:xf numFmtId="2" fontId="2" fillId="2" borderId="0" xfId="0" applyNumberFormat="1" applyFont="1" applyFill="1"/>
    <x:xf numFmtId="0" fontId="2" fillId="3" borderId="0" xfId="0" applyFont="1" applyFill="1" applyAlignment="1">
      <x:alignment horizontal="center"/>
    </x:xf>
    <x:xf numFmtId="0" fontId="2" fillId="3" borderId="0" xfId="0" applyFont="1" applyFill="1"/>
    <x:xf numFmtId="0" fontId="2" fillId="3" borderId="0" xfId="0" applyFont="1" applyFill="1" applyAlignment="1">
      <x:alignment vertical="center"/>
    </x:xf>
    <x:xf numFmtId="0" fontId="2" fillId="3" borderId="0" xfId="0" applyFont="1" applyFill="1" applyAlignment="1">
      <x:alignment horizontal="left"/>
    </x:xf>
    <x:xf numFmtId="14" fontId="2" fillId="3" borderId="0" xfId="0" applyNumberFormat="1" applyFont="1" applyFill="1" applyAlignment="1">
      <x:alignment horizontal="center"/>
    </x:xf>
    <x:xf numFmtId="49" fontId="2" fillId="3" borderId="0" xfId="0" applyNumberFormat="1" applyFont="1" applyFill="1"/>
    <x:xf numFmtId="49" fontId="2" fillId="3" borderId="0" xfId="0" applyNumberFormat="1" applyFont="1" applyFill="1" applyAlignment="1">
      <x:alignment horizontal="left"/>
    </x:xf>
    <x:xf numFmtId="14" fontId="2" fillId="5" borderId="0" xfId="0" applyNumberFormat="1" applyFont="1" applyFill="1" applyAlignment="1">
      <x:alignment horizontal="center"/>
    </x:xf>
    <x:xf numFmtId="0" fontId="2" fillId="5" borderId="0" xfId="0" applyFont="1" applyFill="1"/>
    <x:xf numFmtId="0" fontId="2" fillId="5" borderId="0" xfId="0" applyFont="1" applyFill="1" applyAlignment="1">
      <x:alignment horizontal="left"/>
    </x:xf>
    <x:xf numFmtId="2" fontId="2" fillId="3" borderId="0" xfId="0" applyNumberFormat="1" applyFont="1" applyFill="1"/>
    <x:xf numFmtId="2" fontId="2" fillId="5" borderId="0" xfId="0" applyNumberFormat="1" applyFont="1" applyFill="1"/>
    <x:xf numFmtId="49" fontId="2" fillId="5" borderId="0" xfId="0" applyNumberFormat="1" applyFont="1" applyFill="1" applyAlignment="1">
      <x:alignment horizontal="left"/>
    </x:xf>
    <x:xf numFmtId="0" fontId="2" fillId="0" borderId="0" xfId="0" applyFont="1" applyAlignment="1">
      <x:alignment horizontal="right"/>
    </x:xf>
    <x:xf numFmtId="0" fontId="2" fillId="4" borderId="0" xfId="0" applyFont="1" applyFill="1" applyAlignment="1">
      <x:alignment horizontal="right"/>
    </x:xf>
    <x:xf numFmtId="0" fontId="2" fillId="0" borderId="0" xfId="0" applyFont="1" applyFill="1" applyAlignment="1">
      <x:alignment horizontal="right"/>
    </x:xf>
    <x:xf numFmtId="0" fontId="2" fillId="0" borderId="0" xfId="0" applyFont="1" applyFill="1"/>
    <x:xf numFmtId="0" fontId="2" fillId="0" borderId="0" xfId="0" applyFont="1" applyFill="1" applyAlignment="1">
      <x:alignment horizontal="left"/>
    </x:xf>
    <x:xf numFmtId="0" fontId="3" fillId="3" borderId="0" xfId="0" applyFont="1" applyFill="1"/>
    <x:xf numFmtId="14" fontId="2" fillId="6" borderId="0" xfId="0" applyNumberFormat="1" applyFont="1" applyFill="1" applyAlignment="1">
      <x:alignment horizontal="center"/>
    </x:xf>
    <x:xf numFmtId="0" fontId="2" fillId="6" borderId="0" xfId="0" applyFont="1" applyFill="1"/>
    <x:xf numFmtId="49" fontId="2" fillId="6" borderId="0" xfId="0" applyNumberFormat="1" applyFont="1" applyFill="1" applyAlignment="1">
      <x:alignment horizontal="left"/>
    </x:xf>
    <x:xf numFmtId="2" fontId="2" fillId="6" borderId="0" xfId="0" applyNumberFormat="1" applyFont="1" applyFill="1"/>
    <x:xf numFmtId="0" fontId="2" fillId="6" borderId="0" xfId="0" applyFont="1" applyFill="1" applyAlignment="1">
      <x:alignment vertical="center"/>
    </x:xf>
    <x:xf numFmtId="14" fontId="2" fillId="7" borderId="0" xfId="0" applyNumberFormat="1" applyFont="1" applyFill="1" applyAlignment="1">
      <x:alignment horizontal="center"/>
    </x:xf>
    <x:xf numFmtId="0" fontId="2" fillId="7" borderId="0" xfId="0" applyFont="1" applyFill="1"/>
    <x:xf numFmtId="49" fontId="2" fillId="7" borderId="0" xfId="0" applyNumberFormat="1" applyFont="1" applyFill="1" applyAlignment="1">
      <x:alignment horizontal="left"/>
    </x:xf>
    <x:xf numFmtId="2" fontId="2" fillId="7" borderId="0" xfId="0" applyNumberFormat="1" applyFont="1" applyFill="1"/>
    <x:xf numFmtId="0" fontId="2" fillId="7" borderId="0" xfId="0" applyFont="1" applyFill="1" applyAlignment="1">
      <x:alignment vertical="center"/>
    </x:xf>
    <x:xf numFmtId="200" fontId="2" fillId="3" borderId="0" xfId="0" applyNumberFormat="1" applyFont="1" applyFill="1" applyBorder="1"/>
    <x:xf numFmtId="200" fontId="2" fillId="3" borderId="0" xfId="0" applyNumberFormat="1" applyFont="1" applyFill="1" applyBorder="1" applyAlignment="1">
      <x:alignment horizontal="left"/>
    </x:xf>
    <x:xf numFmtId="200" fontId="2" fillId="2" borderId="0" xfId="0" applyNumberFormat="1" applyFont="1" applyFill="1" applyBorder="1"/>
    <x:xf numFmtId="200" fontId="2" fillId="5" borderId="0" xfId="0" applyNumberFormat="1" applyFont="1" applyFill="1" applyBorder="1" applyAlignment="1">
      <x:alignment horizontal="left"/>
    </x:xf>
    <x:xf numFmtId="200" fontId="2" fillId="6" borderId="0" xfId="0" applyNumberFormat="1" applyFont="1" applyFill="1" applyBorder="1" applyAlignment="1">
      <x:alignment horizontal="left"/>
    </x:xf>
    <x:xf numFmtId="200" fontId="2" fillId="7" borderId="0" xfId="0" applyNumberFormat="1" applyFont="1" applyFill="1" applyBorder="1" applyAlignment="1">
      <x:alignment horizontal="left"/>
    </x:xf>
  </x:cellXfs>
  <x:cellStyles count="1"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ce93c6239a498e" /><Relationship Type="http://schemas.openxmlformats.org/officeDocument/2006/relationships/theme" Target="/xl/theme/theme1.xml" Id="R1efc4149a5b544e1" /><Relationship Type="http://schemas.openxmlformats.org/officeDocument/2006/relationships/sharedStrings" Target="/xl/sharedStrings.xml" Id="Rfad88895d6a84250" /><Relationship Type="http://schemas.openxmlformats.org/officeDocument/2006/relationships/worksheet" Target="/xl/worksheets/sheet1.xml" Id="R1a6f1ee0d808428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7"/>
  <x:cols>
    <x:col min="1" max="1" width="10.453125" style="2" customWidth="1"/>
    <x:col min="2" max="2" width="19.6328125" style="3" customWidth="1"/>
    <x:col min="3" max="3" width="13.36328125" style="3" customWidth="1"/>
    <x:col min="4" max="4" width="9" style="3" customWidth="1"/>
    <x:col min="5" max="5" width="11.08984375" style="3" customWidth="1"/>
    <x:col min="6" max="6" width="6.6328125" style="3" hidden="1" customWidth="1"/>
    <x:col min="7" max="8" width="9" style="3" hidden="1" customWidth="1"/>
    <x:col min="9" max="9" width="15.08984375" style="3" customWidth="1"/>
    <x:col min="10" max="10" width="9.36328125" style="3" customWidth="1"/>
    <x:col min="11" max="11" width="19" style="3" customWidth="1"/>
    <x:col min="12" max="12" width="21.36328125" style="1" customWidth="1"/>
    <x:col min="13" max="13" width="0.08984375" style="3" hidden="1" customWidth="1"/>
    <x:col min="14" max="14" width="11.08984375" style="3" customWidth="1"/>
    <x:col min="15" max="18" width="9" style="3" customWidth="1"/>
    <x:col min="19" max="19" width="9" style="23" customWidth="0"/>
    <x:col min="20" max="16384" width="9" style="3" customWidth="0"/>
  </x:cols>
  <x:sheetData>
    <x:row r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2" t="s">
        <x:v>8</x:v>
      </x:c>
      <x:c r="J1" s="11" t="s">
        <x:v>9</x:v>
      </x:c>
      <x:c r="K1" s="11" t="s">
        <x:v>10</x:v>
      </x:c>
      <x:c r="L1" s="13" t="s">
        <x:v>11</x:v>
      </x:c>
      <x:c r="M1" s="11" t="s">
        <x:v>12</x:v>
      </x:c>
      <x:c r="N1" s="11" t="s">
        <x:v>13</x:v>
      </x:c>
      <x:c r="O1" s="11" t="s">
        <x:v>14</x:v>
      </x:c>
      <x:c r="P1" s="11" t="s">
        <x:v>15</x:v>
      </x:c>
      <x:c r="Q1" s="11" t="s">
        <x:v>16</x:v>
      </x:c>
      <x:c r="R1" s="11" t="s">
        <x:v>17</x:v>
      </x:c>
    </x:row>
    <x:row r="2">
      <x:c r="A2" s="14">
        <x:v>46174</x:v>
      </x:c>
      <x:c r="B2" s="11" t="s">
        <x:v>18</x:v>
      </x:c>
      <x:c r="C2" s="28" t="s">
        <x:v>19</x:v>
      </x:c>
      <x:c r="D2" s="11" t="s">
        <x:v>20</x:v>
      </x:c>
      <x:c r="E2" s="14">
        <x:v>46174</x:v>
      </x:c>
      <x:c r="F2" s="11"/>
      <x:c r="G2" s="11" t="s">
        <x:v>21</x:v>
      </x:c>
      <x:c r="H2" s="11"/>
      <x:c r="I2" s="12" t="s">
        <x:v>22</x:v>
      </x:c>
      <x:c r="J2" s="11" t="str">
        <x:v>廣豐食品股份有限公司</x:v>
      </x:c>
      <x:c r="K2" s="11" t="s">
        <x:v>23</x:v>
      </x:c>
      <x:c r="L2" s="39" t="str">
        <x:v>2605190098801217</x:v>
      </x:c>
      <x:c r="M2" s="11" t="s">
        <x:v>21</x:v>
      </x:c>
      <x:c r="N2" s="20">
        <x:v>42.32</x:v>
      </x:c>
      <x:c r="O2" s="11" t="s">
        <x:v>24</x:v>
      </x:c>
      <x:c r="P2" s="11" t="s">
        <x:v>24</x:v>
      </x:c>
      <x:c r="Q2" s="11" t="s">
        <x:v>25</x:v>
      </x:c>
      <x:c r="R2" s="11" t="s">
        <x:v>26</x:v>
      </x:c>
      <x:c r="S2" s="24">
        <x:v>0.08</x:v>
      </x:c>
      <x:c r="T2" s="3">
        <x:v>529</x:v>
      </x:c>
      <x:c r="U2" s="3" t="n">
        <x:f>S2*T2</x:f>
        <x:v>42.32</x:v>
      </x:c>
    </x:row>
    <x:row r="3">
      <x:c r="A3" s="14">
        <x:v>46174</x:v>
      </x:c>
      <x:c r="B3" s="11" t="s">
        <x:v>18</x:v>
      </x:c>
      <x:c r="C3" s="28" t="s">
        <x:v>27</x:v>
      </x:c>
      <x:c r="D3" s="11" t="s">
        <x:v>28</x:v>
      </x:c>
      <x:c r="E3" s="14">
        <x:v>46174</x:v>
      </x:c>
      <x:c r="F3" s="11"/>
      <x:c r="G3" s="11"/>
      <x:c r="H3" s="11"/>
      <x:c r="I3" s="12" t="s">
        <x:v>29</x:v>
      </x:c>
      <x:c r="J3" s="11" t="str">
        <x:v>廣豐食品股份有限公司</x:v>
      </x:c>
      <x:c r="K3" s="11" t="s">
        <x:v>30</x:v>
      </x:c>
      <x:c r="L3" s="39" t="str">
        <x:v>016683</x:v>
      </x:c>
      <x:c r="M3" s="11"/>
      <x:c r="N3" s="20">
        <x:v>7.9349999999999996</x:v>
      </x:c>
      <x:c r="O3" s="11" t="s">
        <x:v>24</x:v>
      </x:c>
      <x:c r="P3" s="11" t="s">
        <x:v>24</x:v>
      </x:c>
      <x:c r="Q3" s="11" t="s">
        <x:v>25</x:v>
      </x:c>
      <x:c r="R3" s="11" t="s">
        <x:v>26</x:v>
      </x:c>
      <x:c r="S3" s="24">
        <x:v>1.4999999999999999E-2</x:v>
      </x:c>
      <x:c r="T3" s="3">
        <x:v>529</x:v>
      </x:c>
      <x:c r="U3" s="3" t="n">
        <x:f t="shared" ref="U3:U8" si="0">S3*T3</x:f>
        <x:v>7.935</x:v>
      </x:c>
    </x:row>
    <x:row r="4">
      <x:c r="A4" s="14">
        <x:v>46174</x:v>
      </x:c>
      <x:c r="B4" s="11" t="s">
        <x:v>18</x:v>
      </x:c>
      <x:c r="C4" s="28" t="s">
        <x:v>27</x:v>
      </x:c>
      <x:c r="D4" s="11" t="s">
        <x:v>31</x:v>
      </x:c>
      <x:c r="E4" s="14">
        <x:v>46174</x:v>
      </x:c>
      <x:c r="F4" s="11"/>
      <x:c r="G4" s="11"/>
      <x:c r="H4" s="11"/>
      <x:c r="I4" s="12" t="s">
        <x:v>32</x:v>
      </x:c>
      <x:c r="J4" s="11" t="str">
        <x:v>廣豐食品股份有限公司</x:v>
      </x:c>
      <x:c r="K4" s="11" t="s">
        <x:v>33</x:v>
      </x:c>
      <x:c r="L4" s="39" t="str">
        <x:v>1201004693</x:v>
      </x:c>
      <x:c r="M4" s="11"/>
      <x:c r="N4" s="20">
        <x:v>2.645</x:v>
      </x:c>
      <x:c r="O4" s="11" t="s">
        <x:v>24</x:v>
      </x:c>
      <x:c r="P4" s="11" t="s">
        <x:v>24</x:v>
      </x:c>
      <x:c r="Q4" s="11" t="s">
        <x:v>25</x:v>
      </x:c>
      <x:c r="R4" s="11" t="s">
        <x:v>26</x:v>
      </x:c>
      <x:c r="S4" s="24">
        <x:v>5.0000000000000001E-3</x:v>
      </x:c>
      <x:c r="T4" s="3">
        <x:v>529</x:v>
      </x:c>
      <x:c r="U4" s="3">
        <x:f t="shared" si="0"/>
        <x:v>2.645</x:v>
      </x:c>
    </x:row>
    <x:row r="5">
      <x:c r="A5" s="14">
        <x:v>46174</x:v>
      </x:c>
      <x:c r="B5" s="11" t="s">
        <x:v>18</x:v>
      </x:c>
      <x:c r="C5" s="28" t="s">
        <x:v>34</x:v>
      </x:c>
      <x:c r="D5" s="11" t="s">
        <x:v>35</x:v>
      </x:c>
      <x:c r="E5" s="14">
        <x:v>46174</x:v>
      </x:c>
      <x:c r="F5" s="11"/>
      <x:c r="G5" s="11"/>
      <x:c r="H5" s="11"/>
      <x:c r="I5" s="12" t="s">
        <x:v>36</x:v>
      </x:c>
      <x:c r="J5" s="11" t="str">
        <x:v>廣豐食品股份有限公司</x:v>
      </x:c>
      <x:c r="K5" s="11" t="s">
        <x:v>37</x:v>
      </x:c>
      <x:c r="L5" s="40" t="str"/>
      <x:c r="M5" s="11"/>
      <x:c r="N5" s="20">
        <x:v>6.8769999999999998</x:v>
      </x:c>
      <x:c r="O5" s="11" t="s">
        <x:v>24</x:v>
      </x:c>
      <x:c r="P5" s="11" t="s">
        <x:v>24</x:v>
      </x:c>
      <x:c r="Q5" s="11" t="s">
        <x:v>25</x:v>
      </x:c>
      <x:c r="R5" s="11" t="s">
        <x:v>26</x:v>
      </x:c>
      <x:c r="S5" s="24">
        <x:v>1.2999999999999999E-2</x:v>
      </x:c>
      <x:c r="T5" s="3">
        <x:v>529</x:v>
      </x:c>
      <x:c r="U5" s="3">
        <x:f t="shared" si="0"/>
        <x:v>6.8769999999999998</x:v>
      </x:c>
    </x:row>
    <x:row r="6">
      <x:c r="A6" s="14">
        <x:v>46174</x:v>
      </x:c>
      <x:c r="B6" s="11" t="s">
        <x:v>18</x:v>
      </x:c>
      <x:c r="C6" s="28" t="s">
        <x:v>34</x:v>
      </x:c>
      <x:c r="D6" s="11" t="s">
        <x:v>38</x:v>
      </x:c>
      <x:c r="E6" s="14">
        <x:v>46174</x:v>
      </x:c>
      <x:c r="F6" s="11"/>
      <x:c r="G6" s="11"/>
      <x:c r="H6" s="11"/>
      <x:c r="I6" s="12" t="s">
        <x:v>39</x:v>
      </x:c>
      <x:c r="J6" s="11" t="str">
        <x:v>廣豐食品股份有限公司</x:v>
      </x:c>
      <x:c r="K6" s="11" t="s">
        <x:v>40</x:v>
      </x:c>
      <x:c r="L6" s="40" t="str">
        <x:v>LE300431</x:v>
      </x:c>
      <x:c r="M6" s="11"/>
      <x:c r="N6" s="20">
        <x:v>3.7030000000000003</x:v>
      </x:c>
      <x:c r="O6" s="11" t="s">
        <x:v>24</x:v>
      </x:c>
      <x:c r="P6" s="11" t="s">
        <x:v>24</x:v>
      </x:c>
      <x:c r="Q6" s="11" t="s">
        <x:v>25</x:v>
      </x:c>
      <x:c r="R6" s="11" t="s">
        <x:v>26</x:v>
      </x:c>
      <x:c r="S6" s="24">
        <x:v>7.0000000000000001E-3</x:v>
      </x:c>
      <x:c r="T6" s="3">
        <x:v>529</x:v>
      </x:c>
      <x:c r="U6" s="3">
        <x:f t="shared" si="0"/>
        <x:v>3.7030000000000003</x:v>
      </x:c>
    </x:row>
    <x:row r="7">
      <x:c r="A7" s="14">
        <x:v>46174</x:v>
      </x:c>
      <x:c r="B7" s="11" t="s">
        <x:v>18</x:v>
      </x:c>
      <x:c r="C7" s="11" t="s">
        <x:v>41</x:v>
      </x:c>
      <x:c r="D7" s="11" t="s">
        <x:v>42</x:v>
      </x:c>
      <x:c r="E7" s="14">
        <x:v>46174</x:v>
      </x:c>
      <x:c r="F7" s="11"/>
      <x:c r="G7" s="11"/>
      <x:c r="H7" s="11"/>
      <x:c r="I7" s="12" t="s">
        <x:v>43</x:v>
      </x:c>
      <x:c r="J7" s="11" t="str">
        <x:v>廣豐食品股份有限公司</x:v>
      </x:c>
      <x:c r="K7" s="16" t="s">
        <x:v>23</x:v>
      </x:c>
      <x:c r="L7" s="40" t="str">
        <x:v>2604155169113265</x:v>
      </x:c>
      <x:c r="M7" s="11"/>
      <x:c r="N7" s="20">
        <x:v>47.61</x:v>
      </x:c>
      <x:c r="O7" s="11" t="s">
        <x:v>24</x:v>
      </x:c>
      <x:c r="P7" s="11" t="s">
        <x:v>24</x:v>
      </x:c>
      <x:c r="Q7" s="11" t="s">
        <x:v>25</x:v>
      </x:c>
      <x:c r="R7" s="11" t="s">
        <x:v>26</x:v>
      </x:c>
      <x:c r="S7" s="24">
        <x:v>0.09</x:v>
      </x:c>
      <x:c r="T7" s="3">
        <x:v>529</x:v>
      </x:c>
      <x:c r="U7" s="3">
        <x:f t="shared" si="0"/>
        <x:v>47.61</x:v>
      </x:c>
    </x:row>
    <x:row r="8">
      <x:c r="A8" s="14">
        <x:v>46174</x:v>
      </x:c>
      <x:c r="B8" s="11" t="s">
        <x:v>18</x:v>
      </x:c>
      <x:c r="C8" s="11" t="s">
        <x:v>41</x:v>
      </x:c>
      <x:c r="D8" s="11" t="s">
        <x:v>44</x:v>
      </x:c>
      <x:c r="E8" s="14">
        <x:v>46174</x:v>
      </x:c>
      <x:c r="F8" s="11"/>
      <x:c r="G8" s="11"/>
      <x:c r="H8" s="11"/>
      <x:c r="I8" s="12" t="s">
        <x:v>45</x:v>
      </x:c>
      <x:c r="J8" s="11" t="str">
        <x:v>廣豐食品股份有限公司</x:v>
      </x:c>
      <x:c r="K8" s="16" t="s">
        <x:v>46</x:v>
      </x:c>
      <x:c r="L8" s="40" t="str">
        <x:v>0316600001</x:v>
      </x:c>
      <x:c r="M8" s="11"/>
      <x:c r="N8" s="20">
        <x:v>42.32</x:v>
      </x:c>
      <x:c r="O8" s="11" t="s">
        <x:v>24</x:v>
      </x:c>
      <x:c r="P8" s="11" t="s">
        <x:v>24</x:v>
      </x:c>
      <x:c r="Q8" s="11" t="s">
        <x:v>25</x:v>
      </x:c>
      <x:c r="R8" s="11" t="s">
        <x:v>26</x:v>
      </x:c>
      <x:c r="S8" s="24">
        <x:v>0.08</x:v>
      </x:c>
      <x:c r="T8" s="3">
        <x:v>529</x:v>
      </x:c>
      <x:c r="U8" s="3">
        <x:f t="shared" si="0"/>
        <x:v>42.32</x:v>
      </x:c>
    </x:row>
    <x:row r="9">
      <x:c r="A9" s="14">
        <x:v>46174</x:v>
      </x:c>
      <x:c r="B9" s="11" t="s">
        <x:v>18</x:v>
      </x:c>
      <x:c r="C9" s="11" t="s">
        <x:v>47</x:v>
      </x:c>
      <x:c r="D9" s="11" t="s">
        <x:v>48</x:v>
      </x:c>
      <x:c r="E9" s="14">
        <x:v>46174</x:v>
      </x:c>
      <x:c r="F9" s="11"/>
      <x:c r="G9" s="11"/>
      <x:c r="H9" s="11"/>
      <x:c r="I9" s="12" t="s">
        <x:v>49</x:v>
      </x:c>
      <x:c r="J9" s="11" t="str">
        <x:v>廣豐食品股份有限公司</x:v>
      </x:c>
      <x:c r="K9" s="16" t="s">
        <x:v>23</x:v>
      </x:c>
      <x:c r="L9" s="40" t="str">
        <x:v>00993663601066</x:v>
      </x:c>
      <x:c r="M9" s="11"/>
      <x:c r="N9" s="20">
        <x:v>23.340659340659339</x:v>
      </x:c>
      <x:c r="O9" s="11" t="s">
        <x:v>24</x:v>
      </x:c>
      <x:c r="P9" s="11" t="s">
        <x:v>24</x:v>
      </x:c>
      <x:c r="Q9" s="11" t="s">
        <x:v>25</x:v>
      </x:c>
      <x:c r="R9" s="11" t="s">
        <x:v>26</x:v>
      </x:c>
      <x:c r="S9" s="24"/>
    </x:row>
    <x:row r="10">
      <x:c r="A10" s="14">
        <x:v>46174</x:v>
      </x:c>
      <x:c r="B10" s="11" t="s">
        <x:v>18</x:v>
      </x:c>
      <x:c r="C10" s="11" t="s">
        <x:v>50</x:v>
      </x:c>
      <x:c r="D10" s="11" t="s">
        <x:v>51</x:v>
      </x:c>
      <x:c r="E10" s="14">
        <x:v>46174</x:v>
      </x:c>
      <x:c r="F10" s="11"/>
      <x:c r="G10" s="11"/>
      <x:c r="H10" s="11"/>
      <x:c r="I10" s="12" t="s">
        <x:v>52</x:v>
      </x:c>
      <x:c r="J10" s="11" t="str">
        <x:v>廣豐食品股份有限公司</x:v>
      </x:c>
      <x:c r="K10" s="16" t="s">
        <x:v>30</x:v>
      </x:c>
      <x:c r="L10" s="40" t="str">
        <x:v>123701</x:v>
      </x:c>
      <x:c r="M10" s="11"/>
      <x:c r="N10" s="20">
        <x:v>15.874439461883409</x:v>
      </x:c>
      <x:c r="O10" s="11" t="s">
        <x:v>24</x:v>
      </x:c>
      <x:c r="P10" s="11" t="s">
        <x:v>24</x:v>
      </x:c>
      <x:c r="Q10" s="11" t="s">
        <x:v>25</x:v>
      </x:c>
      <x:c r="R10" s="11" t="s">
        <x:v>26</x:v>
      </x:c>
      <x:c r="S10" s="24"/>
    </x:row>
    <x:row r="11">
      <x:c r="A11" s="14">
        <x:v>46174</x:v>
      </x:c>
      <x:c r="B11" s="11" t="s">
        <x:v>18</x:v>
      </x:c>
      <x:c r="C11" s="11" t="s">
        <x:v>50</x:v>
      </x:c>
      <x:c r="D11" s="11" t="s">
        <x:v>53</x:v>
      </x:c>
      <x:c r="E11" s="14">
        <x:v>46174</x:v>
      </x:c>
      <x:c r="F11" s="11"/>
      <x:c r="G11" s="11"/>
      <x:c r="H11" s="11"/>
      <x:c r="I11" s="12" t="s">
        <x:v>54</x:v>
      </x:c>
      <x:c r="J11" s="11" t="str">
        <x:v>廣豐食品股份有限公司</x:v>
      </x:c>
      <x:c r="K11" s="16" t="s">
        <x:v>55</x:v>
      </x:c>
      <x:c r="L11" s="40" t="str">
        <x:v>D43003260530C</x:v>
      </x:c>
      <x:c r="M11" s="11"/>
      <x:c r="N11" s="20">
        <x:v>3.9686098654708521</x:v>
      </x:c>
      <x:c r="O11" s="11" t="s">
        <x:v>24</x:v>
      </x:c>
      <x:c r="P11" s="11" t="s">
        <x:v>24</x:v>
      </x:c>
      <x:c r="Q11" s="11" t="s">
        <x:v>25</x:v>
      </x:c>
      <x:c r="R11" s="11" t="s">
        <x:v>26</x:v>
      </x:c>
      <x:c r="S11" s="24"/>
      <x:c r="T11" s="3">
        <x:v>584</x:v>
      </x:c>
      <x:c r="U11" s="3" t="n">
        <x:f t="shared" ref="U11" si="1">S11*T11</x:f>
        <x:v>0</x:v>
      </x:c>
    </x:row>
    <x:row r="12">
      <x:c r="A12" s="4">
        <x:v>46174</x:v>
      </x:c>
      <x:c r="B12" s="7" t="s">
        <x:v>56</x:v>
      </x:c>
      <x:c r="C12" s="7" t="s">
        <x:v>19</x:v>
      </x:c>
      <x:c r="D12" s="7" t="s">
        <x:v>20</x:v>
      </x:c>
      <x:c r="E12" s="4">
        <x:v>46174</x:v>
      </x:c>
      <x:c r="F12" s="8"/>
      <x:c r="G12" s="7" t="s">
        <x:v>21</x:v>
      </x:c>
      <x:c r="H12" s="7"/>
      <x:c r="I12" s="7" t="s">
        <x:v>22</x:v>
      </x:c>
      <x:c r="J12" s="7" t="str">
        <x:v>廣豐食品股份有限公司</x:v>
      </x:c>
      <x:c r="K12" s="7" t="s">
        <x:v>23</x:v>
      </x:c>
      <x:c r="L12" s="41" t="str">
        <x:v>2605190098801217</x:v>
      </x:c>
      <x:c r="M12" s="7" t="s">
        <x:v>21</x:v>
      </x:c>
      <x:c r="N12" s="9">
        <x:v>14.32</x:v>
      </x:c>
      <x:c r="O12" s="7" t="s">
        <x:v>24</x:v>
      </x:c>
      <x:c r="P12" s="7" t="s">
        <x:v>24</x:v>
      </x:c>
      <x:c r="Q12" s="7" t="s">
        <x:v>25</x:v>
      </x:c>
      <x:c r="R12" s="5" t="s">
        <x:v>26</x:v>
      </x:c>
      <x:c r="S12" s="25">
        <x:v>0.08</x:v>
      </x:c>
      <x:c r="T12" s="3">
        <x:v>179</x:v>
      </x:c>
      <x:c r="U12" s="3" t="n">
        <x:f>S12*T12</x:f>
        <x:v>14.32</x:v>
      </x:c>
    </x:row>
    <x:row r="13">
      <x:c r="A13" s="4">
        <x:v>46174</x:v>
      </x:c>
      <x:c r="B13" s="7" t="s">
        <x:v>56</x:v>
      </x:c>
      <x:c r="C13" s="7" t="s">
        <x:v>27</x:v>
      </x:c>
      <x:c r="D13" s="7" t="s">
        <x:v>28</x:v>
      </x:c>
      <x:c r="E13" s="4">
        <x:v>46174</x:v>
      </x:c>
      <x:c r="F13" s="8"/>
      <x:c r="G13" s="7"/>
      <x:c r="H13" s="7"/>
      <x:c r="I13" s="7" t="s">
        <x:v>29</x:v>
      </x:c>
      <x:c r="J13" s="7" t="str">
        <x:v>廣豐食品股份有限公司</x:v>
      </x:c>
      <x:c r="K13" s="7" t="s">
        <x:v>30</x:v>
      </x:c>
      <x:c r="L13" s="41" t="str">
        <x:v>016683</x:v>
      </x:c>
      <x:c r="M13" s="7"/>
      <x:c r="N13" s="9">
        <x:v>2.6850000000000001</x:v>
      </x:c>
      <x:c r="O13" s="7" t="s">
        <x:v>24</x:v>
      </x:c>
      <x:c r="P13" s="7" t="s">
        <x:v>24</x:v>
      </x:c>
      <x:c r="Q13" s="7" t="s">
        <x:v>25</x:v>
      </x:c>
      <x:c r="R13" s="5" t="s">
        <x:v>26</x:v>
      </x:c>
      <x:c r="S13" s="25">
        <x:v>1.4999999999999999E-2</x:v>
      </x:c>
      <x:c r="T13" s="3">
        <x:v>179</x:v>
      </x:c>
      <x:c r="U13" s="3" t="n">
        <x:f t="shared" ref="U13:U18" si="2">S13*T13</x:f>
        <x:v>2.685</x:v>
      </x:c>
    </x:row>
    <x:row r="14">
      <x:c r="A14" s="4">
        <x:v>46174</x:v>
      </x:c>
      <x:c r="B14" s="7" t="s">
        <x:v>56</x:v>
      </x:c>
      <x:c r="C14" s="7" t="s">
        <x:v>27</x:v>
      </x:c>
      <x:c r="D14" s="7" t="s">
        <x:v>31</x:v>
      </x:c>
      <x:c r="E14" s="4">
        <x:v>46174</x:v>
      </x:c>
      <x:c r="F14" s="8"/>
      <x:c r="G14" s="7"/>
      <x:c r="H14" s="7"/>
      <x:c r="I14" s="7" t="s">
        <x:v>32</x:v>
      </x:c>
      <x:c r="J14" s="7" t="str">
        <x:v>廣豐食品股份有限公司</x:v>
      </x:c>
      <x:c r="K14" s="7" t="s">
        <x:v>33</x:v>
      </x:c>
      <x:c r="L14" s="41" t="str">
        <x:v>1201004693</x:v>
      </x:c>
      <x:c r="M14" s="7"/>
      <x:c r="N14" s="9">
        <x:v>0.89500000000000002</x:v>
      </x:c>
      <x:c r="O14" s="7" t="s">
        <x:v>24</x:v>
      </x:c>
      <x:c r="P14" s="7" t="s">
        <x:v>24</x:v>
      </x:c>
      <x:c r="Q14" s="7" t="s">
        <x:v>25</x:v>
      </x:c>
      <x:c r="R14" s="5" t="s">
        <x:v>26</x:v>
      </x:c>
      <x:c r="S14" s="25">
        <x:v>5.0000000000000001E-3</x:v>
      </x:c>
      <x:c r="T14" s="3">
        <x:v>179</x:v>
      </x:c>
      <x:c r="U14" s="3">
        <x:f t="shared" si="2"/>
        <x:v>0.89500000000000002</x:v>
      </x:c>
    </x:row>
    <x:row r="15">
      <x:c r="A15" s="4">
        <x:v>46174</x:v>
      </x:c>
      <x:c r="B15" s="7" t="s">
        <x:v>56</x:v>
      </x:c>
      <x:c r="C15" s="7" t="s">
        <x:v>34</x:v>
      </x:c>
      <x:c r="D15" s="7" t="s">
        <x:v>35</x:v>
      </x:c>
      <x:c r="E15" s="4">
        <x:v>46174</x:v>
      </x:c>
      <x:c r="F15" s="8"/>
      <x:c r="G15" s="7"/>
      <x:c r="H15" s="7"/>
      <x:c r="I15" s="7" t="s">
        <x:v>36</x:v>
      </x:c>
      <x:c r="J15" s="7" t="str">
        <x:v>廣豐食品股份有限公司</x:v>
      </x:c>
      <x:c r="K15" s="7" t="s">
        <x:v>37</x:v>
      </x:c>
      <x:c r="L15" s="41" t="str"/>
      <x:c r="M15" s="7"/>
      <x:c r="N15" s="9">
        <x:v>2.327</x:v>
      </x:c>
      <x:c r="O15" s="7" t="s">
        <x:v>24</x:v>
      </x:c>
      <x:c r="P15" s="7" t="s">
        <x:v>24</x:v>
      </x:c>
      <x:c r="Q15" s="7" t="s">
        <x:v>25</x:v>
      </x:c>
      <x:c r="R15" s="5" t="s">
        <x:v>26</x:v>
      </x:c>
      <x:c r="S15" s="25">
        <x:v>1.2999999999999999E-2</x:v>
      </x:c>
      <x:c r="T15" s="3">
        <x:v>179</x:v>
      </x:c>
      <x:c r="U15" s="3">
        <x:f t="shared" si="2"/>
        <x:v>2.327</x:v>
      </x:c>
    </x:row>
    <x:row r="16">
      <x:c r="A16" s="4">
        <x:v>46174</x:v>
      </x:c>
      <x:c r="B16" s="7" t="s">
        <x:v>56</x:v>
      </x:c>
      <x:c r="C16" s="7" t="s">
        <x:v>34</x:v>
      </x:c>
      <x:c r="D16" s="7" t="s">
        <x:v>38</x:v>
      </x:c>
      <x:c r="E16" s="4">
        <x:v>46174</x:v>
      </x:c>
      <x:c r="F16" s="8"/>
      <x:c r="G16" s="7"/>
      <x:c r="H16" s="7"/>
      <x:c r="I16" s="7" t="s">
        <x:v>39</x:v>
      </x:c>
      <x:c r="J16" s="7" t="str">
        <x:v>廣豐食品股份有限公司</x:v>
      </x:c>
      <x:c r="K16" s="7" t="s">
        <x:v>40</x:v>
      </x:c>
      <x:c r="L16" s="41" t="str">
        <x:v>LE300431</x:v>
      </x:c>
      <x:c r="M16" s="7"/>
      <x:c r="N16" s="9">
        <x:v>1.2530000000000001</x:v>
      </x:c>
      <x:c r="O16" s="7" t="s">
        <x:v>24</x:v>
      </x:c>
      <x:c r="P16" s="7" t="s">
        <x:v>24</x:v>
      </x:c>
      <x:c r="Q16" s="7" t="s">
        <x:v>25</x:v>
      </x:c>
      <x:c r="R16" s="5" t="s">
        <x:v>26</x:v>
      </x:c>
      <x:c r="S16" s="25">
        <x:v>7.0000000000000001E-3</x:v>
      </x:c>
      <x:c r="T16" s="3">
        <x:v>179</x:v>
      </x:c>
      <x:c r="U16" s="3">
        <x:f t="shared" si="2"/>
        <x:v>1.2530000000000001</x:v>
      </x:c>
    </x:row>
    <x:row r="17">
      <x:c r="A17" s="4">
        <x:v>46174</x:v>
      </x:c>
      <x:c r="B17" s="7" t="s">
        <x:v>56</x:v>
      </x:c>
      <x:c r="C17" s="7" t="s">
        <x:v>41</x:v>
      </x:c>
      <x:c r="D17" s="7" t="s">
        <x:v>42</x:v>
      </x:c>
      <x:c r="E17" s="4">
        <x:v>46174</x:v>
      </x:c>
      <x:c r="F17" s="8"/>
      <x:c r="G17" s="7"/>
      <x:c r="H17" s="7"/>
      <x:c r="I17" s="7" t="s">
        <x:v>43</x:v>
      </x:c>
      <x:c r="J17" s="7" t="str">
        <x:v>廣豐食品股份有限公司</x:v>
      </x:c>
      <x:c r="K17" s="7" t="s">
        <x:v>23</x:v>
      </x:c>
      <x:c r="L17" s="41" t="str">
        <x:v>2604155169113265</x:v>
      </x:c>
      <x:c r="M17" s="7"/>
      <x:c r="N17" s="9">
        <x:v>16.11</x:v>
      </x:c>
      <x:c r="O17" s="7" t="s">
        <x:v>24</x:v>
      </x:c>
      <x:c r="P17" s="7" t="s">
        <x:v>24</x:v>
      </x:c>
      <x:c r="Q17" s="7" t="s">
        <x:v>25</x:v>
      </x:c>
      <x:c r="R17" s="5" t="s">
        <x:v>26</x:v>
      </x:c>
      <x:c r="S17" s="25">
        <x:v>0.09</x:v>
      </x:c>
      <x:c r="T17" s="3">
        <x:v>179</x:v>
      </x:c>
      <x:c r="U17" s="3">
        <x:f t="shared" si="2"/>
        <x:v>16.11</x:v>
      </x:c>
    </x:row>
    <x:row r="18">
      <x:c r="A18" s="4">
        <x:v>46174</x:v>
      </x:c>
      <x:c r="B18" s="7" t="s">
        <x:v>56</x:v>
      </x:c>
      <x:c r="C18" s="7" t="s">
        <x:v>41</x:v>
      </x:c>
      <x:c r="D18" s="7" t="s">
        <x:v>44</x:v>
      </x:c>
      <x:c r="E18" s="4">
        <x:v>46174</x:v>
      </x:c>
      <x:c r="F18" s="8"/>
      <x:c r="G18" s="7"/>
      <x:c r="H18" s="7"/>
      <x:c r="I18" s="7" t="s">
        <x:v>45</x:v>
      </x:c>
      <x:c r="J18" s="7" t="str">
        <x:v>廣豐食品股份有限公司</x:v>
      </x:c>
      <x:c r="K18" s="7" t="s">
        <x:v>46</x:v>
      </x:c>
      <x:c r="L18" s="41" t="str">
        <x:v>0316600001</x:v>
      </x:c>
      <x:c r="M18" s="7"/>
      <x:c r="N18" s="9">
        <x:v>14.32</x:v>
      </x:c>
      <x:c r="O18" s="7" t="s">
        <x:v>24</x:v>
      </x:c>
      <x:c r="P18" s="7" t="s">
        <x:v>24</x:v>
      </x:c>
      <x:c r="Q18" s="7" t="s">
        <x:v>25</x:v>
      </x:c>
      <x:c r="R18" s="5" t="s">
        <x:v>26</x:v>
      </x:c>
      <x:c r="S18" s="25">
        <x:v>0.08</x:v>
      </x:c>
      <x:c r="T18" s="3">
        <x:v>179</x:v>
      </x:c>
      <x:c r="U18" s="3">
        <x:f t="shared" si="2"/>
        <x:v>14.32</x:v>
      </x:c>
    </x:row>
    <x:row r="19">
      <x:c r="A19" s="4">
        <x:v>46174</x:v>
      </x:c>
      <x:c r="B19" s="7" t="s">
        <x:v>56</x:v>
      </x:c>
      <x:c r="C19" s="7" t="s">
        <x:v>47</x:v>
      </x:c>
      <x:c r="D19" s="7" t="s">
        <x:v>48</x:v>
      </x:c>
      <x:c r="E19" s="4">
        <x:v>46174</x:v>
      </x:c>
      <x:c r="F19" s="8"/>
      <x:c r="G19" s="7"/>
      <x:c r="H19" s="7"/>
      <x:c r="I19" s="7" t="s">
        <x:v>49</x:v>
      </x:c>
      <x:c r="J19" s="7" t="str">
        <x:v>廣豐食品股份有限公司</x:v>
      </x:c>
      <x:c r="K19" s="7" t="s">
        <x:v>23</x:v>
      </x:c>
      <x:c r="L19" s="41" t="str">
        <x:v>00993663601066</x:v>
      </x:c>
      <x:c r="M19" s="7"/>
      <x:c r="N19" s="9">
        <x:v>7.1</x:v>
      </x:c>
      <x:c r="O19" s="7" t="s">
        <x:v>24</x:v>
      </x:c>
      <x:c r="P19" s="7" t="s">
        <x:v>24</x:v>
      </x:c>
      <x:c r="Q19" s="7" t="s">
        <x:v>25</x:v>
      </x:c>
      <x:c r="R19" s="5" t="s">
        <x:v>26</x:v>
      </x:c>
      <x:c r="S19" s="25"/>
      <x:c r="U19" s="3" t="n">
        <x:f t="shared" ref="U19" si="3">S19*T19</x:f>
        <x:v>0</x:v>
      </x:c>
    </x:row>
    <x:row r="20">
      <x:c r="A20" s="4">
        <x:v>46174</x:v>
      </x:c>
      <x:c r="B20" s="7" t="s">
        <x:v>56</x:v>
      </x:c>
      <x:c r="C20" s="7" t="s">
        <x:v>50</x:v>
      </x:c>
      <x:c r="D20" s="7" t="s">
        <x:v>51</x:v>
      </x:c>
      <x:c r="E20" s="4">
        <x:v>46174</x:v>
      </x:c>
      <x:c r="F20" s="8"/>
      <x:c r="G20" s="7"/>
      <x:c r="H20" s="7"/>
      <x:c r="I20" s="7" t="s">
        <x:v>52</x:v>
      </x:c>
      <x:c r="J20" s="7" t="str">
        <x:v>廣豐食品股份有限公司</x:v>
      </x:c>
      <x:c r="K20" s="7" t="s">
        <x:v>30</x:v>
      </x:c>
      <x:c r="L20" s="41" t="str">
        <x:v>123701</x:v>
      </x:c>
      <x:c r="M20" s="7"/>
      <x:c r="N20" s="9">
        <x:v>4.8430493273542607</x:v>
      </x:c>
      <x:c r="O20" s="7" t="s">
        <x:v>24</x:v>
      </x:c>
      <x:c r="P20" s="7" t="s">
        <x:v>24</x:v>
      </x:c>
      <x:c r="Q20" s="7" t="s">
        <x:v>25</x:v>
      </x:c>
      <x:c r="R20" s="5" t="s">
        <x:v>26</x:v>
      </x:c>
      <x:c r="S20" s="25"/>
    </x:row>
    <x:row r="21">
      <x:c r="A21" s="4">
        <x:v>46174</x:v>
      </x:c>
      <x:c r="B21" s="7" t="s">
        <x:v>56</x:v>
      </x:c>
      <x:c r="C21" s="7" t="s">
        <x:v>50</x:v>
      </x:c>
      <x:c r="D21" s="7" t="s">
        <x:v>53</x:v>
      </x:c>
      <x:c r="E21" s="4">
        <x:v>46174</x:v>
      </x:c>
      <x:c r="F21" s="8"/>
      <x:c r="G21" s="7"/>
      <x:c r="H21" s="7"/>
      <x:c r="I21" s="7" t="s">
        <x:v>54</x:v>
      </x:c>
      <x:c r="J21" s="7" t="str">
        <x:v>廣豐食品股份有限公司</x:v>
      </x:c>
      <x:c r="K21" s="7" t="s">
        <x:v>55</x:v>
      </x:c>
      <x:c r="L21" s="41" t="str">
        <x:v>D43003260530C</x:v>
      </x:c>
      <x:c r="M21" s="7"/>
      <x:c r="N21" s="9">
        <x:v>1.2107623318385652</x:v>
      </x:c>
      <x:c r="O21" s="7" t="s">
        <x:v>24</x:v>
      </x:c>
      <x:c r="P21" s="7" t="s">
        <x:v>24</x:v>
      </x:c>
      <x:c r="Q21" s="7" t="s">
        <x:v>25</x:v>
      </x:c>
      <x:c r="R21" s="5" t="s">
        <x:v>26</x:v>
      </x:c>
      <x:c r="S21" s="25"/>
    </x:row>
    <x:row r="22">
      <x:c r="A22" s="17">
        <x:v>46174</x:v>
      </x:c>
      <x:c r="B22" s="18" t="s">
        <x:v>57</x:v>
      </x:c>
      <x:c r="C22" s="18" t="s">
        <x:v>19</x:v>
      </x:c>
      <x:c r="D22" s="18" t="s">
        <x:v>20</x:v>
      </x:c>
      <x:c r="E22" s="17">
        <x:v>46174</x:v>
      </x:c>
      <x:c r="F22" s="18"/>
      <x:c r="G22" s="18" t="s">
        <x:v>21</x:v>
      </x:c>
      <x:c r="H22" s="18"/>
      <x:c r="I22" s="18" t="s">
        <x:v>22</x:v>
      </x:c>
      <x:c r="J22" s="18" t="str">
        <x:v>廣豐食品股份有限公司</x:v>
      </x:c>
      <x:c r="K22" s="18" t="s">
        <x:v>23</x:v>
      </x:c>
      <x:c r="L22" s="42" t="str">
        <x:v>2605190098801217</x:v>
      </x:c>
      <x:c r="M22" s="18"/>
      <x:c r="N22" s="21">
        <x:v>142.9</x:v>
      </x:c>
      <x:c r="O22" s="18" t="s">
        <x:v>24</x:v>
      </x:c>
      <x:c r="P22" s="18" t="s">
        <x:v>24</x:v>
      </x:c>
      <x:c r="Q22" s="18" t="s">
        <x:v>25</x:v>
      </x:c>
      <x:c r="R22" s="18" t="s">
        <x:v>26</x:v>
      </x:c>
      <x:c r="S22" s="25">
        <x:v>0.1</x:v>
      </x:c>
      <x:c r="T22" s="3">
        <x:v>1429</x:v>
      </x:c>
      <x:c r="U22" s="3" t="n">
        <x:f>S22*T22</x:f>
        <x:v>142.9</x:v>
      </x:c>
    </x:row>
    <x:row r="23">
      <x:c r="A23" s="17">
        <x:v>46174</x:v>
      </x:c>
      <x:c r="B23" s="18" t="s">
        <x:v>57</x:v>
      </x:c>
      <x:c r="C23" s="18" t="s">
        <x:v>27</x:v>
      </x:c>
      <x:c r="D23" s="18" t="s">
        <x:v>28</x:v>
      </x:c>
      <x:c r="E23" s="17">
        <x:v>46174</x:v>
      </x:c>
      <x:c r="F23" s="18"/>
      <x:c r="G23" s="18"/>
      <x:c r="H23" s="18"/>
      <x:c r="I23" s="18" t="s">
        <x:v>29</x:v>
      </x:c>
      <x:c r="J23" s="18" t="str">
        <x:v>廣豐食品股份有限公司</x:v>
      </x:c>
      <x:c r="K23" s="18" t="s">
        <x:v>30</x:v>
      </x:c>
      <x:c r="L23" s="42" t="str">
        <x:v>016683</x:v>
      </x:c>
      <x:c r="M23" s="18"/>
      <x:c r="N23" s="21">
        <x:v>21.434999999999999</x:v>
      </x:c>
      <x:c r="O23" s="18" t="s">
        <x:v>24</x:v>
      </x:c>
      <x:c r="P23" s="18" t="s">
        <x:v>24</x:v>
      </x:c>
      <x:c r="Q23" s="18" t="s">
        <x:v>25</x:v>
      </x:c>
      <x:c r="R23" s="18" t="s">
        <x:v>26</x:v>
      </x:c>
      <x:c r="S23" s="25">
        <x:v>1.4999999999999999E-2</x:v>
      </x:c>
      <x:c r="T23" s="3">
        <x:v>1429</x:v>
      </x:c>
      <x:c r="U23" s="3" t="n">
        <x:f t="shared" ref="U23:U29" si="4">S23*T23</x:f>
        <x:v>21.435</x:v>
      </x:c>
    </x:row>
    <x:row r="24">
      <x:c r="A24" s="17">
        <x:v>46174</x:v>
      </x:c>
      <x:c r="B24" s="18" t="s">
        <x:v>57</x:v>
      </x:c>
      <x:c r="C24" s="18" t="s">
        <x:v>27</x:v>
      </x:c>
      <x:c r="D24" s="18" t="s">
        <x:v>31</x:v>
      </x:c>
      <x:c r="E24" s="17">
        <x:v>46174</x:v>
      </x:c>
      <x:c r="F24" s="18"/>
      <x:c r="G24" s="18"/>
      <x:c r="H24" s="18"/>
      <x:c r="I24" s="18" t="s">
        <x:v>32</x:v>
      </x:c>
      <x:c r="J24" s="18" t="str">
        <x:v>廣豐食品股份有限公司</x:v>
      </x:c>
      <x:c r="K24" s="18" t="s">
        <x:v>33</x:v>
      </x:c>
      <x:c r="L24" s="42" t="str">
        <x:v>1201004693</x:v>
      </x:c>
      <x:c r="M24" s="18"/>
      <x:c r="N24" s="21">
        <x:v>7.1450000000000005</x:v>
      </x:c>
      <x:c r="O24" s="18" t="s">
        <x:v>24</x:v>
      </x:c>
      <x:c r="P24" s="18" t="s">
        <x:v>24</x:v>
      </x:c>
      <x:c r="Q24" s="18" t="s">
        <x:v>25</x:v>
      </x:c>
      <x:c r="R24" s="18" t="s">
        <x:v>26</x:v>
      </x:c>
      <x:c r="S24" s="25">
        <x:v>5.0000000000000001E-3</x:v>
      </x:c>
      <x:c r="T24" s="3">
        <x:v>1429</x:v>
      </x:c>
      <x:c r="U24" s="3">
        <x:f t="shared" si="4"/>
        <x:v>7.1450000000000005</x:v>
      </x:c>
    </x:row>
    <x:row r="25">
      <x:c r="A25" s="17">
        <x:v>46174</x:v>
      </x:c>
      <x:c r="B25" s="18" t="s">
        <x:v>57</x:v>
      </x:c>
      <x:c r="C25" s="18" t="s">
        <x:v>34</x:v>
      </x:c>
      <x:c r="D25" s="18" t="s">
        <x:v>35</x:v>
      </x:c>
      <x:c r="E25" s="17">
        <x:v>46174</x:v>
      </x:c>
      <x:c r="F25" s="18"/>
      <x:c r="G25" s="18"/>
      <x:c r="H25" s="18"/>
      <x:c r="I25" s="18" t="s">
        <x:v>36</x:v>
      </x:c>
      <x:c r="J25" s="18" t="str">
        <x:v>廣豐食品股份有限公司</x:v>
      </x:c>
      <x:c r="K25" s="18" t="s">
        <x:v>37</x:v>
      </x:c>
      <x:c r="L25" s="42" t="str"/>
      <x:c r="M25" s="18"/>
      <x:c r="N25" s="21">
        <x:v>18.576999999999998</x:v>
      </x:c>
      <x:c r="O25" s="18" t="s">
        <x:v>24</x:v>
      </x:c>
      <x:c r="P25" s="18" t="s">
        <x:v>24</x:v>
      </x:c>
      <x:c r="Q25" s="18" t="s">
        <x:v>25</x:v>
      </x:c>
      <x:c r="R25" s="18" t="s">
        <x:v>26</x:v>
      </x:c>
      <x:c r="S25" s="25">
        <x:v>1.2999999999999999E-2</x:v>
      </x:c>
      <x:c r="T25" s="3">
        <x:v>1429</x:v>
      </x:c>
      <x:c r="U25" s="3">
        <x:f t="shared" si="4"/>
        <x:v>18.576999999999998</x:v>
      </x:c>
    </x:row>
    <x:row r="26">
      <x:c r="A26" s="17">
        <x:v>46174</x:v>
      </x:c>
      <x:c r="B26" s="18" t="s">
        <x:v>57</x:v>
      </x:c>
      <x:c r="C26" s="18" t="s">
        <x:v>34</x:v>
      </x:c>
      <x:c r="D26" s="18" t="s">
        <x:v>38</x:v>
      </x:c>
      <x:c r="E26" s="17">
        <x:v>46174</x:v>
      </x:c>
      <x:c r="F26" s="18"/>
      <x:c r="G26" s="18"/>
      <x:c r="H26" s="18"/>
      <x:c r="I26" s="18" t="s">
        <x:v>39</x:v>
      </x:c>
      <x:c r="J26" s="18" t="str">
        <x:v>廣豐食品股份有限公司</x:v>
      </x:c>
      <x:c r="K26" s="18" t="s">
        <x:v>40</x:v>
      </x:c>
      <x:c r="L26" s="42" t="str">
        <x:v>LE300431</x:v>
      </x:c>
      <x:c r="M26" s="18"/>
      <x:c r="N26" s="21">
        <x:v>10.003</x:v>
      </x:c>
      <x:c r="O26" s="18" t="s">
        <x:v>24</x:v>
      </x:c>
      <x:c r="P26" s="18" t="s">
        <x:v>24</x:v>
      </x:c>
      <x:c r="Q26" s="18" t="s">
        <x:v>25</x:v>
      </x:c>
      <x:c r="R26" s="18" t="s">
        <x:v>26</x:v>
      </x:c>
      <x:c r="S26" s="23">
        <x:v>7.0000000000000001E-3</x:v>
      </x:c>
      <x:c r="T26" s="3">
        <x:v>1429</x:v>
      </x:c>
      <x:c r="U26" s="3">
        <x:f t="shared" si="4"/>
        <x:v>10.003</x:v>
      </x:c>
    </x:row>
    <x:row r="27">
      <x:c r="A27" s="17">
        <x:v>46174</x:v>
      </x:c>
      <x:c r="B27" s="18" t="s">
        <x:v>57</x:v>
      </x:c>
      <x:c r="C27" s="18" t="s">
        <x:v>41</x:v>
      </x:c>
      <x:c r="D27" s="18" t="s">
        <x:v>42</x:v>
      </x:c>
      <x:c r="E27" s="17">
        <x:v>46174</x:v>
      </x:c>
      <x:c r="F27" s="18"/>
      <x:c r="G27" s="18"/>
      <x:c r="H27" s="18"/>
      <x:c r="I27" s="18" t="s">
        <x:v>43</x:v>
      </x:c>
      <x:c r="J27" s="18" t="str">
        <x:v>廣豐食品股份有限公司</x:v>
      </x:c>
      <x:c r="K27" s="18" t="s">
        <x:v>23</x:v>
      </x:c>
      <x:c r="L27" s="42" t="str">
        <x:v>2604155169113265</x:v>
      </x:c>
      <x:c r="M27" s="18"/>
      <x:c r="N27" s="21">
        <x:v>128.60999999999999</x:v>
      </x:c>
      <x:c r="O27" s="18" t="s">
        <x:v>24</x:v>
      </x:c>
      <x:c r="P27" s="18" t="s">
        <x:v>24</x:v>
      </x:c>
      <x:c r="Q27" s="18" t="s">
        <x:v>25</x:v>
      </x:c>
      <x:c r="R27" s="18" t="s">
        <x:v>26</x:v>
      </x:c>
      <x:c r="S27" s="23">
        <x:v>0.09</x:v>
      </x:c>
      <x:c r="T27" s="3">
        <x:v>1429</x:v>
      </x:c>
      <x:c r="U27" s="3">
        <x:f t="shared" si="4"/>
        <x:v>128.60999999999999</x:v>
      </x:c>
    </x:row>
    <x:row r="28">
      <x:c r="A28" s="17">
        <x:v>46174</x:v>
      </x:c>
      <x:c r="B28" s="18" t="s">
        <x:v>57</x:v>
      </x:c>
      <x:c r="C28" s="18" t="s">
        <x:v>41</x:v>
      </x:c>
      <x:c r="D28" s="18" t="s">
        <x:v>44</x:v>
      </x:c>
      <x:c r="E28" s="17">
        <x:v>46174</x:v>
      </x:c>
      <x:c r="F28" s="18"/>
      <x:c r="G28" s="18"/>
      <x:c r="H28" s="18"/>
      <x:c r="I28" s="18" t="s">
        <x:v>45</x:v>
      </x:c>
      <x:c r="J28" s="18" t="str">
        <x:v>廣豐食品股份有限公司</x:v>
      </x:c>
      <x:c r="K28" s="18" t="s">
        <x:v>46</x:v>
      </x:c>
      <x:c r="L28" s="42" t="str">
        <x:v>0316600001</x:v>
      </x:c>
      <x:c r="M28" s="18"/>
      <x:c r="N28" s="21">
        <x:v>114.32000000000001</x:v>
      </x:c>
      <x:c r="O28" s="18" t="s">
        <x:v>24</x:v>
      </x:c>
      <x:c r="P28" s="18" t="s">
        <x:v>24</x:v>
      </x:c>
      <x:c r="Q28" s="18" t="s">
        <x:v>25</x:v>
      </x:c>
      <x:c r="R28" s="18" t="s">
        <x:v>26</x:v>
      </x:c>
      <x:c r="S28" s="23">
        <x:v>0.08</x:v>
      </x:c>
      <x:c r="T28" s="3">
        <x:v>1429</x:v>
      </x:c>
      <x:c r="U28" s="3">
        <x:f t="shared" si="4"/>
        <x:v>114.32000000000001</x:v>
      </x:c>
    </x:row>
    <x:row r="29">
      <x:c r="A29" s="17">
        <x:v>46174</x:v>
      </x:c>
      <x:c r="B29" s="18" t="s">
        <x:v>57</x:v>
      </x:c>
      <x:c r="C29" s="18" t="s">
        <x:v>58</x:v>
      </x:c>
      <x:c r="D29" s="18" t="s">
        <x:v>59</x:v>
      </x:c>
      <x:c r="E29" s="17">
        <x:v>46174</x:v>
      </x:c>
      <x:c r="F29" s="18"/>
      <x:c r="G29" s="18"/>
      <x:c r="H29" s="18"/>
      <x:c r="I29" s="18" t="s">
        <x:v>60</x:v>
      </x:c>
      <x:c r="J29" s="18" t="str">
        <x:v>廣豐食品股份有限公司</x:v>
      </x:c>
      <x:c r="K29" s="18" t="s">
        <x:v>61</x:v>
      </x:c>
      <x:c r="L29" s="42" t="str">
        <x:v>1-010-100311</x:v>
      </x:c>
      <x:c r="M29" s="18"/>
      <x:c r="N29" s="21">
        <x:v>71</x:v>
      </x:c>
      <x:c r="O29" s="18" t="s">
        <x:v>24</x:v>
      </x:c>
      <x:c r="P29" s="18" t="s">
        <x:v>24</x:v>
      </x:c>
      <x:c r="Q29" s="18" t="s">
        <x:v>25</x:v>
      </x:c>
      <x:c r="R29" s="18" t="s">
        <x:v>26</x:v>
      </x:c>
      <x:c r="S29" s="23">
        <x:v>0.05</x:v>
      </x:c>
      <x:c r="T29" s="3">
        <x:v>1429</x:v>
      </x:c>
      <x:c r="U29" s="3">
        <x:f t="shared" si="4"/>
        <x:v>71.45</x:v>
      </x:c>
    </x:row>
    <x:row r="30">
      <x:c r="A30" s="17">
        <x:v>46174</x:v>
      </x:c>
      <x:c r="B30" s="18" t="s">
        <x:v>57</x:v>
      </x:c>
      <x:c r="C30" s="18" t="s">
        <x:v>50</x:v>
      </x:c>
      <x:c r="D30" s="18" t="s">
        <x:v>51</x:v>
      </x:c>
      <x:c r="E30" s="17">
        <x:v>46174</x:v>
      </x:c>
      <x:c r="F30" s="18"/>
      <x:c r="G30" s="18"/>
      <x:c r="H30" s="18"/>
      <x:c r="I30" s="18" t="s">
        <x:v>52</x:v>
      </x:c>
      <x:c r="J30" s="18" t="str">
        <x:v>廣豐食品股份有限公司</x:v>
      </x:c>
      <x:c r="K30" s="18" t="s">
        <x:v>30</x:v>
      </x:c>
      <x:c r="L30" s="42" t="str">
        <x:v>123701</x:v>
      </x:c>
      <x:c r="M30" s="18"/>
      <x:c r="N30" s="21">
        <x:v>39.282511210762337</x:v>
      </x:c>
      <x:c r="O30" s="18" t="s">
        <x:v>24</x:v>
      </x:c>
      <x:c r="P30" s="18" t="s">
        <x:v>24</x:v>
      </x:c>
      <x:c r="Q30" s="18" t="s">
        <x:v>25</x:v>
      </x:c>
      <x:c r="R30" s="18" t="s">
        <x:v>26</x:v>
      </x:c>
    </x:row>
    <x:row r="31">
      <x:c r="A31" s="29">
        <x:v>46174</x:v>
      </x:c>
      <x:c r="B31" s="30" t="s">
        <x:v>57</x:v>
      </x:c>
      <x:c r="C31" s="30" t="s">
        <x:v>50</x:v>
      </x:c>
      <x:c r="D31" s="30" t="s">
        <x:v>53</x:v>
      </x:c>
      <x:c r="E31" s="29">
        <x:v>46174</x:v>
      </x:c>
      <x:c r="F31" s="29"/>
      <x:c r="G31" s="30"/>
      <x:c r="H31" s="30"/>
      <x:c r="I31" s="30" t="s">
        <x:v>54</x:v>
      </x:c>
      <x:c r="J31" s="30" t="str">
        <x:v>廣豐食品股份有限公司</x:v>
      </x:c>
      <x:c r="K31" s="30" t="s">
        <x:v>55</x:v>
      </x:c>
      <x:c r="L31" s="43" t="str">
        <x:v>D43003260530C</x:v>
      </x:c>
      <x:c r="M31" s="30" t="s">
        <x:v>21</x:v>
      </x:c>
      <x:c r="N31" s="32">
        <x:v>9.8206278026905842</x:v>
      </x:c>
      <x:c r="O31" s="30" t="s">
        <x:v>24</x:v>
      </x:c>
      <x:c r="P31" s="30" t="s">
        <x:v>24</x:v>
      </x:c>
      <x:c r="Q31" s="30" t="s">
        <x:v>25</x:v>
      </x:c>
      <x:c r="R31" s="33" t="s">
        <x:v>26</x:v>
      </x:c>
    </x:row>
    <x:row r="32">
      <x:c r="A32" s="34">
        <x:v>46174</x:v>
      </x:c>
      <x:c r="B32" s="35" t="s">
        <x:v>57</x:v>
      </x:c>
      <x:c r="C32" s="35" t="s">
        <x:v>62</x:v>
      </x:c>
      <x:c r="D32" s="35" t="s">
        <x:v>20</x:v>
      </x:c>
      <x:c r="E32" s="34">
        <x:v>46174</x:v>
      </x:c>
      <x:c r="F32" s="34"/>
      <x:c r="G32" s="35" t="s">
        <x:v>21</x:v>
      </x:c>
      <x:c r="H32" s="35"/>
      <x:c r="I32" s="35" t="s">
        <x:v>22</x:v>
      </x:c>
      <x:c r="J32" s="35" t="str">
        <x:v>廣豐食品股份有限公司</x:v>
      </x:c>
      <x:c r="K32" s="35" t="s">
        <x:v>23</x:v>
      </x:c>
      <x:c r="L32" s="44" t="str">
        <x:v>2605190098801217</x:v>
      </x:c>
      <x:c r="M32" s="35"/>
      <x:c r="N32" s="37">
        <x:v>2.6</x:v>
      </x:c>
      <x:c r="O32" s="35" t="s">
        <x:v>24</x:v>
      </x:c>
      <x:c r="P32" s="35" t="s">
        <x:v>24</x:v>
      </x:c>
      <x:c r="Q32" s="35" t="s">
        <x:v>25</x:v>
      </x:c>
      <x:c r="R32" s="38" t="s">
        <x:v>26</x:v>
      </x:c>
      <x:c r="S32" s="23">
        <x:v>0.1</x:v>
      </x:c>
      <x:c r="T32" s="3">
        <x:v>26</x:v>
      </x:c>
      <x:c r="U32" s="3" t="n">
        <x:f t="shared" ref="U32:U39" si="5">S32*T32</x:f>
        <x:v>2.6</x:v>
      </x:c>
    </x:row>
    <x:row r="33">
      <x:c r="A33" s="34">
        <x:v>46174</x:v>
      </x:c>
      <x:c r="B33" s="35" t="s">
        <x:v>57</x:v>
      </x:c>
      <x:c r="C33" s="35" t="s">
        <x:v>63</x:v>
      </x:c>
      <x:c r="D33" s="35" t="s">
        <x:v>64</x:v>
      </x:c>
      <x:c r="E33" s="34">
        <x:v>46174</x:v>
      </x:c>
      <x:c r="F33" s="34"/>
      <x:c r="G33" s="35"/>
      <x:c r="H33" s="35"/>
      <x:c r="I33" s="35" t="s">
        <x:v>65</x:v>
      </x:c>
      <x:c r="J33" s="35" t="str">
        <x:v>廣豐食品股份有限公司</x:v>
      </x:c>
      <x:c r="K33" s="35"/>
      <x:c r="L33" s="44"/>
      <x:c r="M33" s="35"/>
      <x:c r="N33" s="37">
        <x:v>1.3</x:v>
      </x:c>
      <x:c r="O33" s="35" t="s">
        <x:v>24</x:v>
      </x:c>
      <x:c r="P33" s="35" t="s">
        <x:v>24</x:v>
      </x:c>
      <x:c r="Q33" s="35" t="s">
        <x:v>25</x:v>
      </x:c>
      <x:c r="R33" s="38" t="s">
        <x:v>26</x:v>
      </x:c>
      <x:c r="S33" s="23">
        <x:v>0.05</x:v>
      </x:c>
      <x:c r="T33" s="3">
        <x:v>26</x:v>
      </x:c>
      <x:c r="U33" s="3">
        <x:f t="shared" si="5"/>
        <x:v>1.3</x:v>
      </x:c>
    </x:row>
    <x:row r="34">
      <x:c r="A34" s="34">
        <x:v>46174</x:v>
      </x:c>
      <x:c r="B34" s="35" t="s">
        <x:v>57</x:v>
      </x:c>
      <x:c r="C34" s="35" t="s">
        <x:v>66</x:v>
      </x:c>
      <x:c r="D34" s="35" t="s">
        <x:v>67</x:v>
      </x:c>
      <x:c r="E34" s="34">
        <x:v>46174</x:v>
      </x:c>
      <x:c r="F34" s="34"/>
      <x:c r="G34" s="35"/>
      <x:c r="H34" s="35"/>
      <x:c r="I34" s="35" t="s">
        <x:v>68</x:v>
      </x:c>
      <x:c r="J34" s="35" t="str">
        <x:v>廣豐食品股份有限公司</x:v>
      </x:c>
      <x:c r="K34" s="35" t="s">
        <x:v>30</x:v>
      </x:c>
      <x:c r="L34" s="44" t="str">
        <x:v>123706</x:v>
      </x:c>
      <x:c r="M34" s="35"/>
      <x:c r="N34" s="37">
        <x:v>0.13</x:v>
      </x:c>
      <x:c r="O34" s="35" t="s">
        <x:v>24</x:v>
      </x:c>
      <x:c r="P34" s="35" t="s">
        <x:v>24</x:v>
      </x:c>
      <x:c r="Q34" s="35" t="s">
        <x:v>25</x:v>
      </x:c>
      <x:c r="R34" s="38" t="s">
        <x:v>26</x:v>
      </x:c>
      <x:c r="S34" s="23">
        <x:v>5.0000000000000001E-3</x:v>
      </x:c>
      <x:c r="T34" s="3">
        <x:v>26</x:v>
      </x:c>
      <x:c r="U34" s="3">
        <x:f t="shared" si="5"/>
        <x:v>0.13</x:v>
      </x:c>
    </x:row>
    <x:row r="35">
      <x:c r="A35" s="34">
        <x:v>46174</x:v>
      </x:c>
      <x:c r="B35" s="35" t="s">
        <x:v>57</x:v>
      </x:c>
      <x:c r="C35" s="35" t="s">
        <x:v>66</x:v>
      </x:c>
      <x:c r="D35" s="35" t="s">
        <x:v>35</x:v>
      </x:c>
      <x:c r="E35" s="34">
        <x:v>46174</x:v>
      </x:c>
      <x:c r="F35" s="34"/>
      <x:c r="G35" s="35"/>
      <x:c r="H35" s="35"/>
      <x:c r="I35" s="35" t="s">
        <x:v>36</x:v>
      </x:c>
      <x:c r="J35" s="35" t="str">
        <x:v>廣豐食品股份有限公司</x:v>
      </x:c>
      <x:c r="K35" s="35"/>
      <x:c r="L35" s="44"/>
      <x:c r="M35" s="35"/>
      <x:c r="N35" s="37">
        <x:v>0.26</x:v>
      </x:c>
      <x:c r="O35" s="35" t="s">
        <x:v>24</x:v>
      </x:c>
      <x:c r="P35" s="35" t="s">
        <x:v>24</x:v>
      </x:c>
      <x:c r="Q35" s="35" t="s">
        <x:v>25</x:v>
      </x:c>
      <x:c r="R35" s="38" t="s">
        <x:v>26</x:v>
      </x:c>
      <x:c r="S35" s="23">
        <x:v>0.01</x:v>
      </x:c>
      <x:c r="T35" s="3">
        <x:v>26</x:v>
      </x:c>
      <x:c r="U35" s="3">
        <x:f t="shared" si="5"/>
        <x:v>0.26</x:v>
      </x:c>
    </x:row>
    <x:row r="36">
      <x:c r="A36" s="34">
        <x:v>46174</x:v>
      </x:c>
      <x:c r="B36" s="35" t="s">
        <x:v>57</x:v>
      </x:c>
      <x:c r="C36" s="35" t="s">
        <x:v>69</x:v>
      </x:c>
      <x:c r="D36" s="35" t="s">
        <x:v>42</x:v>
      </x:c>
      <x:c r="E36" s="34">
        <x:v>46174</x:v>
      </x:c>
      <x:c r="F36" s="34"/>
      <x:c r="G36" s="35"/>
      <x:c r="H36" s="35"/>
      <x:c r="I36" s="35" t="s">
        <x:v>43</x:v>
      </x:c>
      <x:c r="J36" s="35" t="str">
        <x:v>廣豐食品股份有限公司</x:v>
      </x:c>
      <x:c r="K36" s="35" t="s">
        <x:v>23</x:v>
      </x:c>
      <x:c r="L36" s="44" t="str">
        <x:v>2604155169113265</x:v>
      </x:c>
      <x:c r="M36" s="35"/>
      <x:c r="N36" s="37">
        <x:v>0.39</x:v>
      </x:c>
      <x:c r="O36" s="35" t="s">
        <x:v>24</x:v>
      </x:c>
      <x:c r="P36" s="35" t="s">
        <x:v>24</x:v>
      </x:c>
      <x:c r="Q36" s="35" t="s">
        <x:v>25</x:v>
      </x:c>
      <x:c r="R36" s="38" t="s">
        <x:v>26</x:v>
      </x:c>
      <x:c r="S36" s="23">
        <x:v>1.4999999999999999E-2</x:v>
      </x:c>
      <x:c r="T36" s="3">
        <x:v>26</x:v>
      </x:c>
      <x:c r="U36" s="3">
        <x:f t="shared" si="5"/>
        <x:v>0.39</x:v>
      </x:c>
    </x:row>
    <x:row r="37">
      <x:c r="A37" s="34">
        <x:v>46174</x:v>
      </x:c>
      <x:c r="B37" s="35" t="s">
        <x:v>57</x:v>
      </x:c>
      <x:c r="C37" s="35" t="s">
        <x:v>69</x:v>
      </x:c>
      <x:c r="D37" s="35" t="s">
        <x:v>70</x:v>
      </x:c>
      <x:c r="E37" s="34">
        <x:v>46174</x:v>
      </x:c>
      <x:c r="F37" s="34"/>
      <x:c r="G37" s="35"/>
      <x:c r="H37" s="35"/>
      <x:c r="I37" s="35" t="s">
        <x:v>71</x:v>
      </x:c>
      <x:c r="J37" s="35" t="str">
        <x:v>廣豐食品股份有限公司</x:v>
      </x:c>
      <x:c r="K37" s="35" t="s">
        <x:v>33</x:v>
      </x:c>
      <x:c r="L37" s="44" t="str">
        <x:v>1004000002</x:v>
      </x:c>
      <x:c r="M37" s="35"/>
      <x:c r="N37" s="37">
        <x:v>0.13</x:v>
      </x:c>
      <x:c r="O37" s="35" t="s">
        <x:v>24</x:v>
      </x:c>
      <x:c r="P37" s="35" t="s">
        <x:v>24</x:v>
      </x:c>
      <x:c r="Q37" s="35" t="s">
        <x:v>25</x:v>
      </x:c>
      <x:c r="R37" s="38" t="s">
        <x:v>26</x:v>
      </x:c>
      <x:c r="S37" s="23">
        <x:v>5.0000000000000001E-3</x:v>
      </x:c>
      <x:c r="T37" s="3">
        <x:v>26</x:v>
      </x:c>
      <x:c r="U37" s="3">
        <x:f t="shared" si="5"/>
        <x:v>0.13</x:v>
      </x:c>
    </x:row>
    <x:row r="38">
      <x:c r="A38" s="34">
        <x:v>46174</x:v>
      </x:c>
      <x:c r="B38" s="35" t="s">
        <x:v>57</x:v>
      </x:c>
      <x:c r="C38" s="35" t="s">
        <x:v>72</x:v>
      </x:c>
      <x:c r="D38" s="35" t="s">
        <x:v>73</x:v>
      </x:c>
      <x:c r="E38" s="34">
        <x:v>46174</x:v>
      </x:c>
      <x:c r="F38" s="34"/>
      <x:c r="G38" s="35"/>
      <x:c r="H38" s="35"/>
      <x:c r="I38" s="35" t="s">
        <x:v>71</x:v>
      </x:c>
      <x:c r="J38" s="35" t="str">
        <x:v>廣豐食品股份有限公司</x:v>
      </x:c>
      <x:c r="K38" s="35" t="s">
        <x:v>33</x:v>
      </x:c>
      <x:c r="L38" s="44" t="str">
        <x:v>1004000002</x:v>
      </x:c>
      <x:c r="M38" s="35"/>
      <x:c r="N38" s="37">
        <x:v>0.26</x:v>
      </x:c>
      <x:c r="O38" s="35" t="s">
        <x:v>24</x:v>
      </x:c>
      <x:c r="P38" s="35" t="s">
        <x:v>24</x:v>
      </x:c>
      <x:c r="Q38" s="35" t="s">
        <x:v>25</x:v>
      </x:c>
      <x:c r="R38" s="38" t="s">
        <x:v>26</x:v>
      </x:c>
      <x:c r="S38" s="23">
        <x:v>0.01</x:v>
      </x:c>
      <x:c r="T38" s="3">
        <x:v>26</x:v>
      </x:c>
      <x:c r="U38" s="3">
        <x:f t="shared" si="5"/>
        <x:v>0.26</x:v>
      </x:c>
    </x:row>
    <x:row r="39">
      <x:c r="A39" s="34">
        <x:v>46174</x:v>
      </x:c>
      <x:c r="B39" s="35" t="s">
        <x:v>57</x:v>
      </x:c>
      <x:c r="C39" s="35" t="s">
        <x:v>72</x:v>
      </x:c>
      <x:c r="D39" s="35" t="s">
        <x:v>74</x:v>
      </x:c>
      <x:c r="E39" s="34">
        <x:v>46174</x:v>
      </x:c>
      <x:c r="F39" s="34"/>
      <x:c r="G39" s="35"/>
      <x:c r="H39" s="35"/>
      <x:c r="I39" s="35" t="s">
        <x:v>75</x:v>
      </x:c>
      <x:c r="J39" s="35" t="str">
        <x:v>廣豐食品股份有限公司</x:v>
      </x:c>
      <x:c r="K39" s="35" t="s">
        <x:v>33</x:v>
      </x:c>
      <x:c r="L39" s="44" t="str">
        <x:v>1101003260</x:v>
      </x:c>
      <x:c r="M39" s="35"/>
      <x:c r="N39" s="37">
        <x:v>0.26</x:v>
      </x:c>
      <x:c r="O39" s="35" t="s">
        <x:v>24</x:v>
      </x:c>
      <x:c r="P39" s="35" t="s">
        <x:v>24</x:v>
      </x:c>
      <x:c r="Q39" s="35" t="s">
        <x:v>25</x:v>
      </x:c>
      <x:c r="R39" s="38" t="s">
        <x:v>26</x:v>
      </x:c>
      <x:c r="S39" s="23">
        <x:v>0.01</x:v>
      </x:c>
      <x:c r="T39" s="3">
        <x:v>26</x:v>
      </x:c>
      <x:c r="U39" s="3">
        <x:f t="shared" si="5"/>
        <x:v>0.26</x:v>
      </x:c>
    </x:row>
    <x:row r="41">
      <x:c r="C41" s="26"/>
      <x:c r="D41" s="26"/>
      <x:c r="E41" s="26"/>
      <x:c r="F41" s="26"/>
      <x:c r="G41" s="26"/>
      <x:c r="H41" s="26"/>
      <x:c r="I41" s="26"/>
      <x:c r="J41" s="26"/>
      <x:c r="K41" s="26"/>
      <x:c r="L41" s="27"/>
    </x:row>
    <x:row r="42">
      <x:c r="C42" s="26"/>
      <x:c r="D42" s="26"/>
      <x:c r="E42" s="26"/>
      <x:c r="F42" s="27"/>
      <x:c r="G42" s="26"/>
      <x:c r="H42" s="26"/>
      <x:c r="I42" s="26"/>
      <x:c r="J42" s="26"/>
      <x:c r="K42" s="26"/>
      <x:c r="L42" s="27"/>
    </x:row>
  </x:sheetData>
  <x:pageMargins left="0.7" right="0.7" top="0.75" bottom="0.75" header="0.3" footer="0.3"/>
</x:worksheet>
</file>